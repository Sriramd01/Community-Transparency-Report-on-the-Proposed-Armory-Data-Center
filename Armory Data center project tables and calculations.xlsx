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isr\Desktop\Armory data center project\"/>
    </mc:Choice>
  </mc:AlternateContent>
  <xr:revisionPtr revIDLastSave="0" documentId="8_{11E7385A-43FD-4010-92B6-94C31E47AFBF}" xr6:coauthVersionLast="47" xr6:coauthVersionMax="47" xr10:uidLastSave="{00000000-0000-0000-0000-000000000000}"/>
  <bookViews>
    <workbookView xWindow="-96" yWindow="-96" windowWidth="23232" windowHeight="12432" firstSheet="2" activeTab="6" xr2:uid="{6C9531FF-DF2F-4B1A-B27C-83EB9B8A0302}"/>
  </bookViews>
  <sheets>
    <sheet name="residential vs armory" sheetId="1" r:id="rId1"/>
    <sheet name="Bar chart- STL rsdtnl vs armory" sheetId="8" r:id="rId2"/>
    <sheet name="proximity map" sheetId="2" r:id="rId3"/>
    <sheet name="MW to hp conversion" sheetId="9" r:id="rId4"/>
    <sheet name="Emission factors" sheetId="10" r:id="rId5"/>
    <sheet name="existing data centers" sheetId="4" r:id="rId6"/>
    <sheet name="noise levels" sheetId="11" r:id="rId7"/>
  </sheets>
  <externalReferences>
    <externalReference r:id="rId8"/>
  </externalReferences>
  <definedNames>
    <definedName name="_xlnm._FilterDatabase" localSheetId="5" hidden="1">'existing data centers'!$A$1:$D$11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0" l="1"/>
  <c r="E4" i="10"/>
  <c r="E5" i="10"/>
  <c r="E2" i="10"/>
  <c r="D3" i="10"/>
  <c r="D4" i="10"/>
  <c r="D5" i="10"/>
  <c r="D2" i="10"/>
  <c r="C3" i="10"/>
  <c r="C4" i="10"/>
  <c r="C5" i="10"/>
  <c r="C2" i="10"/>
  <c r="B4" i="9"/>
  <c r="C2" i="2"/>
  <c r="B4" i="1"/>
  <c r="B13" i="1"/>
  <c r="B14" i="1" s="1"/>
  <c r="B5" i="1"/>
  <c r="B6" i="1" l="1"/>
  <c r="B8" i="1" s="1"/>
</calcChain>
</file>

<file path=xl/sharedStrings.xml><?xml version="1.0" encoding="utf-8"?>
<sst xmlns="http://schemas.openxmlformats.org/spreadsheetml/2006/main" count="92" uniqueCount="89">
  <si>
    <t>Place</t>
  </si>
  <si>
    <t>Latitude</t>
  </si>
  <si>
    <t>SSM Cardinal Glennon Children’s Hospital</t>
  </si>
  <si>
    <t>SSM Saint Louis University Hospital</t>
  </si>
  <si>
    <t>Saint Louis University (main campus)</t>
  </si>
  <si>
    <t>Longitude</t>
  </si>
  <si>
    <t>Pollutant</t>
  </si>
  <si>
    <t>CO</t>
  </si>
  <si>
    <t>PM</t>
  </si>
  <si>
    <t>Data Center</t>
  </si>
  <si>
    <t>https://www.datacentermap.com/usa/missouri/st-louis/tierpoint-st-louis-locust/specs/</t>
  </si>
  <si>
    <t>https://www.cogentco.com/files/docs/network/colocation/St_Louis_Data_Center_Brochure.pdf</t>
  </si>
  <si>
    <t>https://www.datotel.com/service/colocation/</t>
  </si>
  <si>
    <t>https://h5datacenters.com/slick_st.louis_fv.pdf</t>
  </si>
  <si>
    <t>https://www.tierpoint.com/data-centers/missouri/st-louis-olive/?utm_source=datacentermap.com</t>
  </si>
  <si>
    <t>https://www.datacentermap.com/usa/missouri/st-louis/210-n-tucker/specs/</t>
  </si>
  <si>
    <t>https://www.datacentermap.com/usa/missouri/st-louis/900-walnut/specs/</t>
  </si>
  <si>
    <t>https://techli.com/hostirian-data-center-backing-st-louis-tech-companies-since-2001/5789/#:~:text=The%20tech%20company%20is%20responsible,hosting%20capacity%20will%20effectively%20double.</t>
  </si>
  <si>
    <t>https://www.tierpoint.com/data-centers/missouri/st-louis-millpark/?utm_source=datacentermap.com</t>
  </si>
  <si>
    <t>Referral links</t>
  </si>
  <si>
    <t>Address</t>
  </si>
  <si>
    <t>MW Capacity</t>
  </si>
  <si>
    <t>2300 Locust St, 63103 St. Louis, Missouri, USA</t>
  </si>
  <si>
    <t>1925 Chouteau Ave, 63103 St. Louis, Missouri, USA</t>
  </si>
  <si>
    <t>710 N Tucker Blvd, 63101 St. Louis, Missouri, USA</t>
  </si>
  <si>
    <t>1111 Olive St, 63101 St. Louis, Missouri, USA</t>
  </si>
  <si>
    <t>210 N Tucker Blvd, 63101 St. Louis, Missouri, USA</t>
  </si>
  <si>
    <t>900 Walnut St, 63101 St. Louis, Missouri, USA</t>
  </si>
  <si>
    <t>11756 Borman Dr, Suite 100, 63146 St. Louis, Missouri, USA</t>
  </si>
  <si>
    <t>2315 Millpark Dr, Suite 104, 63043 Maryland Heights, Missouri, USA</t>
  </si>
  <si>
    <t>Armory Data Center</t>
  </si>
  <si>
    <t>3660 Market StSt. Louis, MO 63110</t>
  </si>
  <si>
    <t>https://www.stlpr.org/news-briefs/2026-01-16/new-plan-armory-3b-tech-hub-data-center</t>
  </si>
  <si>
    <t>Section 1: Residential Estimate</t>
  </si>
  <si>
    <t>Section 2: Data Center Estimate</t>
  </si>
  <si>
    <t>Missouri Residential Electricity Sales (2024, MWh)</t>
  </si>
  <si>
    <t>Missouri Residential Customers (2024)</t>
  </si>
  <si>
    <t>Avg. Residential Use per Customer (MWh)</t>
  </si>
  <si>
    <t>St. Louis City Occupied Housing Units (2024)</t>
  </si>
  <si>
    <t>Estimated St. Louis City Residential Sales (MWh)</t>
  </si>
  <si>
    <t>Armory Data Center Capacity (MW)</t>
  </si>
  <si>
    <t>Annual Use @100% (MWh)</t>
  </si>
  <si>
    <t>Estimated Annual Use of Armory Data Center@80% (MWh)</t>
  </si>
  <si>
    <t>Category</t>
  </si>
  <si>
    <t>Estimated Annual Demand (MWh)</t>
  </si>
  <si>
    <t xml:space="preserve">St. Louis City Residential  </t>
  </si>
  <si>
    <t>Armory Data Center@80%</t>
  </si>
  <si>
    <t>The New SSM Cardinal Glennon Children’s Hospital (under construction)</t>
  </si>
  <si>
    <t xml:space="preserve">Armory Data Center </t>
  </si>
  <si>
    <t>Netrality (210 N Tucker St)</t>
  </si>
  <si>
    <t>TierPoint (Locust St)</t>
  </si>
  <si>
    <t>Netrality (900 Walnut St)</t>
  </si>
  <si>
    <t>Hostirian (estimated)</t>
  </si>
  <si>
    <t>Cogent (estimated)</t>
  </si>
  <si>
    <t>H5 Data Centers (estimated)</t>
  </si>
  <si>
    <t>Datotel (estimated)</t>
  </si>
  <si>
    <t>TierPoint (Olive St, estimated)</t>
  </si>
  <si>
    <t>TierPoint (Millpark, estimated)</t>
  </si>
  <si>
    <t>Backup capacity (MW)</t>
  </si>
  <si>
    <t>Horsepower per MW</t>
  </si>
  <si>
    <t>Full-load horsepower</t>
  </si>
  <si>
    <t>Value</t>
  </si>
  <si>
    <t>Label</t>
  </si>
  <si>
    <t>Scenarios:</t>
  </si>
  <si>
    <t>50% load</t>
  </si>
  <si>
    <t>80% load</t>
  </si>
  <si>
    <t>100% load</t>
  </si>
  <si>
    <t>Emission factor (lb/hp-hr)</t>
  </si>
  <si>
    <t>50% load (lb/hr)</t>
  </si>
  <si>
    <t>80% load (lb/hr)</t>
  </si>
  <si>
    <t>100% load (lb/hr)</t>
  </si>
  <si>
    <t>NOx - Uncontrolled</t>
  </si>
  <si>
    <t>CO2</t>
  </si>
  <si>
    <t>Effect</t>
  </si>
  <si>
    <t>Noise Level</t>
  </si>
  <si>
    <t>Area</t>
  </si>
  <si>
    <t>Hearing</t>
  </si>
  <si>
    <t>Leq(24) &lt; 70 dB</t>
  </si>
  <si>
    <t>All areas (at the ear)</t>
  </si>
  <si>
    <t>Outdoor activity interference and annoyance</t>
  </si>
  <si>
    <t>Ldn &lt; 55 dB</t>
  </si>
  <si>
    <t>Residential outdoor areas and places where quiet is important</t>
  </si>
  <si>
    <t>Leq(24) &lt; 55 dB</t>
  </si>
  <si>
    <t>Outdoor areas with limited exposure (e.g., schoolyards, playgrounds)</t>
  </si>
  <si>
    <t>Indoor activity interference and annoyance</t>
  </si>
  <si>
    <t>Ldn &lt; 45 dB</t>
  </si>
  <si>
    <t>Indoor residential areas</t>
  </si>
  <si>
    <t>Leq(24) &lt; 45 dB</t>
  </si>
  <si>
    <t>Other indoor areas (e.g., schools)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</si>
</sst>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0000"/>
    <numFmt numFmtId="165" formatCode="0.0"/>
  </numFmts>
  <fonts count="5" x14ac:knownFonts="1">
    <font>
      <sz val="11"/>
      <color theme="1"/>
      <name val="Calibri"/>
      <family val="2"/>
    </font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u/>
      <sz val="11"/>
      <color theme="10"/>
      <name val="Calibri"/>
      <family val="2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1" fillId="0" borderId="0"/>
  </cellStyleXfs>
  <cellXfs count="14">
    <xf numFmtId="0" fontId="0" fillId="0" borderId="0" xfId="0"/>
    <xf numFmtId="3" fontId="0" fillId="0" borderId="0" xfId="0" applyNumberFormat="1"/>
    <xf numFmtId="37" fontId="0" fillId="0" borderId="0" xfId="0" applyNumberFormat="1"/>
    <xf numFmtId="0" fontId="2" fillId="0" borderId="0" xfId="0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164" fontId="0" fillId="0" borderId="0" xfId="0" applyNumberFormat="1"/>
    <xf numFmtId="0" fontId="0" fillId="0" borderId="0" xfId="0" applyAlignment="1">
      <alignment vertical="center" wrapText="1"/>
    </xf>
    <xf numFmtId="164" fontId="0" fillId="0" borderId="0" xfId="0" applyNumberFormat="1" applyAlignment="1">
      <alignment vertical="center" wrapText="1"/>
    </xf>
    <xf numFmtId="0" fontId="2" fillId="0" borderId="0" xfId="0" applyFont="1"/>
    <xf numFmtId="0" fontId="3" fillId="0" borderId="0" xfId="1"/>
    <xf numFmtId="0" fontId="4" fillId="0" borderId="0" xfId="0" applyFont="1"/>
    <xf numFmtId="0" fontId="0" fillId="0" borderId="0" xfId="0" applyAlignment="1">
      <alignment wrapText="1"/>
    </xf>
    <xf numFmtId="0" fontId="2" fillId="0" borderId="0" xfId="0" applyFont="1" applyAlignment="1">
      <alignment horizontal="center" vertical="center"/>
    </xf>
    <xf numFmtId="165" fontId="0" fillId="0" borderId="0" xfId="0" applyNumberFormat="1"/>
  </cellXfs>
  <cellStyles count="3">
    <cellStyle name="Hyperlink" xfId="1" builtinId="8"/>
    <cellStyle name="Normal" xfId="0" builtinId="0"/>
    <cellStyle name="Normal 2" xfId="2" xr:uid="{E2D31DA2-623A-4DC6-9CE0-53D260BDD8D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1021080</xdr:colOff>
      <xdr:row>2</xdr:row>
      <xdr:rowOff>15240</xdr:rowOff>
    </xdr:from>
    <xdr:to>
      <xdr:col>8</xdr:col>
      <xdr:colOff>502920</xdr:colOff>
      <xdr:row>5</xdr:row>
      <xdr:rowOff>228600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62A7034-53CD-22C8-BDFD-57000FC91248}"/>
            </a:ext>
          </a:extLst>
        </xdr:cNvPr>
        <xdr:cNvSpPr txBox="1"/>
      </xdr:nvSpPr>
      <xdr:spPr>
        <a:xfrm>
          <a:off x="10637520" y="563880"/>
          <a:ext cx="2834640" cy="13106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200" b="1"/>
            <a:t>Note:</a:t>
          </a:r>
        </a:p>
        <a:p>
          <a:r>
            <a:rPr lang="en-IN" sz="1200"/>
            <a:t>The approximations of the mw capacity of those data centers is based on the backup generators . The actual values arent disclosed by those datacenters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Downloads/SEP%20Tables%20for%20MO.xlsx" TargetMode="External"/><Relationship Id="rId2" Type="http://schemas.openxmlformats.org/officeDocument/2006/relationships/externalLinkPath" Target="file:///C:\Users\saisr\Downloads\SEP%20Tables%20for%20MO.xlsx" TargetMode="External"/><Relationship Id="rId1" Type="http://schemas.openxmlformats.org/officeDocument/2006/relationships/externalLinkPath" Target="/Users/saisr/Downloads/SEP%20Tables%20for%20M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1. Summary"/>
      <sheetName val="2A. Plants-Capacity"/>
      <sheetName val="2B. Plants-Generation"/>
      <sheetName val="3 Retailers"/>
      <sheetName val="4A. Capacity"/>
      <sheetName val="4B. Additions_Retirements"/>
      <sheetName val="5. Generation"/>
      <sheetName val="6. Fuel"/>
      <sheetName val="7. Emissions"/>
      <sheetName val="8. Sales"/>
      <sheetName val="Sheet1"/>
      <sheetName val="9. Ownership"/>
      <sheetName val="10. Source-Disposition"/>
      <sheetName val="11. Net Metering"/>
      <sheetName val="12. AMR-AMI"/>
      <sheetName val="13. Energy Efficiency"/>
      <sheetName val="14 Capacity Factors Monthly"/>
      <sheetName val="15 Capacity Factors Annual"/>
      <sheetName val="16. Distributed"/>
      <sheetName val="17. Reliability"/>
      <sheetName val="18. Small Scale Solar Monthly"/>
      <sheetName val="19. Small Scale Solar Annu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5">
          <cell r="B5">
            <v>35226895</v>
          </cell>
        </row>
        <row r="19">
          <cell r="B19">
            <v>2933914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techli.com/hostirian-data-center-backing-st-louis-tech-companies-since-2001/5789/" TargetMode="External"/><Relationship Id="rId3" Type="http://schemas.openxmlformats.org/officeDocument/2006/relationships/hyperlink" Target="https://www.datotel.com/service/colocation/" TargetMode="External"/><Relationship Id="rId7" Type="http://schemas.openxmlformats.org/officeDocument/2006/relationships/hyperlink" Target="https://www.datacentermap.com/usa/missouri/st-louis/900-walnut/specs/" TargetMode="External"/><Relationship Id="rId2" Type="http://schemas.openxmlformats.org/officeDocument/2006/relationships/hyperlink" Target="https://www.cogentco.com/files/docs/network/colocation/St_Louis_Data_Center_Brochure.pdf" TargetMode="External"/><Relationship Id="rId1" Type="http://schemas.openxmlformats.org/officeDocument/2006/relationships/hyperlink" Target="https://www.datacentermap.com/usa/missouri/st-louis/tierpoint-st-louis-locust/specs/" TargetMode="External"/><Relationship Id="rId6" Type="http://schemas.openxmlformats.org/officeDocument/2006/relationships/hyperlink" Target="https://www.datacentermap.com/usa/missouri/st-louis/210-n-tucker/specs/" TargetMode="External"/><Relationship Id="rId11" Type="http://schemas.openxmlformats.org/officeDocument/2006/relationships/drawing" Target="../drawings/drawing1.xml"/><Relationship Id="rId5" Type="http://schemas.openxmlformats.org/officeDocument/2006/relationships/hyperlink" Target="https://www.tierpoint.com/data-centers/missouri/st-louis-olive/?utm_source=datacentermap.com" TargetMode="External"/><Relationship Id="rId10" Type="http://schemas.openxmlformats.org/officeDocument/2006/relationships/hyperlink" Target="https://www.stlpr.org/news-briefs/2026-01-16/new-plan-armory-3b-tech-hub-data-center" TargetMode="External"/><Relationship Id="rId4" Type="http://schemas.openxmlformats.org/officeDocument/2006/relationships/hyperlink" Target="https://h5datacenters.com/slick_st.louis_fv.pdf" TargetMode="External"/><Relationship Id="rId9" Type="http://schemas.openxmlformats.org/officeDocument/2006/relationships/hyperlink" Target="https://www.tierpoint.com/data-centers/missouri/st-louis-millpark/?utm_source=datacenterma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184BF-467B-41E7-9607-B805CCC07946}">
  <dimension ref="A3:C14"/>
  <sheetViews>
    <sheetView zoomScale="121" workbookViewId="0">
      <selection activeCell="D27" sqref="D26:D27"/>
    </sheetView>
  </sheetViews>
  <sheetFormatPr defaultColWidth="42.21875" defaultRowHeight="14.4" x14ac:dyDescent="0.3"/>
  <cols>
    <col min="1" max="1" width="46.88671875" customWidth="1"/>
    <col min="2" max="2" width="26.88671875" style="2" customWidth="1"/>
  </cols>
  <sheetData>
    <row r="3" spans="1:3" ht="15.6" x14ac:dyDescent="0.3">
      <c r="A3" s="10" t="s">
        <v>33</v>
      </c>
    </row>
    <row r="4" spans="1:3" x14ac:dyDescent="0.3">
      <c r="A4" t="s">
        <v>35</v>
      </c>
      <c r="B4" s="2">
        <f>'[1]8. Sales'!B5</f>
        <v>35226895</v>
      </c>
      <c r="C4" s="1"/>
    </row>
    <row r="5" spans="1:3" x14ac:dyDescent="0.3">
      <c r="A5" t="s">
        <v>36</v>
      </c>
      <c r="B5" s="2">
        <f>'[1]8. Sales'!B19</f>
        <v>2933914</v>
      </c>
    </row>
    <row r="6" spans="1:3" x14ac:dyDescent="0.3">
      <c r="A6" t="s">
        <v>37</v>
      </c>
      <c r="B6" s="2">
        <f>B4/B5</f>
        <v>12.00679195095698</v>
      </c>
    </row>
    <row r="7" spans="1:3" x14ac:dyDescent="0.3">
      <c r="A7" t="s">
        <v>38</v>
      </c>
      <c r="B7" s="2">
        <v>144870</v>
      </c>
    </row>
    <row r="8" spans="1:3" x14ac:dyDescent="0.3">
      <c r="A8" t="s">
        <v>39</v>
      </c>
      <c r="B8" s="2">
        <f>B7*B6</f>
        <v>1739423.9499351378</v>
      </c>
    </row>
    <row r="11" spans="1:3" ht="15.6" x14ac:dyDescent="0.3">
      <c r="A11" s="10" t="s">
        <v>34</v>
      </c>
    </row>
    <row r="12" spans="1:3" x14ac:dyDescent="0.3">
      <c r="A12" t="s">
        <v>40</v>
      </c>
      <c r="B12" s="2">
        <v>120</v>
      </c>
    </row>
    <row r="13" spans="1:3" x14ac:dyDescent="0.3">
      <c r="A13" t="s">
        <v>41</v>
      </c>
      <c r="B13" s="2">
        <f>B12*24*365</f>
        <v>1051200</v>
      </c>
    </row>
    <row r="14" spans="1:3" x14ac:dyDescent="0.3">
      <c r="A14" t="s">
        <v>42</v>
      </c>
      <c r="B14" s="2">
        <f>B13*0.8</f>
        <v>840960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AF67A-52E8-431B-99E8-5D4C04BF9DC6}">
  <dimension ref="A1:B3"/>
  <sheetViews>
    <sheetView workbookViewId="0">
      <selection sqref="A1:B3"/>
    </sheetView>
  </sheetViews>
  <sheetFormatPr defaultColWidth="25.6640625" defaultRowHeight="46.2" customHeight="1" x14ac:dyDescent="0.3"/>
  <sheetData>
    <row r="1" spans="1:2" ht="46.2" customHeight="1" x14ac:dyDescent="0.3">
      <c r="A1" s="12" t="s">
        <v>43</v>
      </c>
      <c r="B1" s="12" t="s">
        <v>44</v>
      </c>
    </row>
    <row r="2" spans="1:2" ht="46.2" customHeight="1" x14ac:dyDescent="0.3">
      <c r="A2" s="11" t="s">
        <v>45</v>
      </c>
      <c r="B2">
        <v>1739424</v>
      </c>
    </row>
    <row r="3" spans="1:2" ht="46.2" customHeight="1" x14ac:dyDescent="0.3">
      <c r="A3" s="11" t="s">
        <v>46</v>
      </c>
      <c r="B3">
        <v>840960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7DFB3-1754-4F74-BE23-7E0D16A7EF2C}">
  <dimension ref="A1:C6"/>
  <sheetViews>
    <sheetView workbookViewId="0">
      <selection sqref="A1:C6"/>
    </sheetView>
  </sheetViews>
  <sheetFormatPr defaultRowHeight="14.4" x14ac:dyDescent="0.3"/>
  <cols>
    <col min="1" max="1" width="26.6640625" customWidth="1"/>
    <col min="2" max="3" width="22.88671875" style="5" customWidth="1"/>
  </cols>
  <sheetData>
    <row r="1" spans="1:3" x14ac:dyDescent="0.3">
      <c r="A1" s="3" t="s">
        <v>0</v>
      </c>
      <c r="B1" s="4" t="s">
        <v>1</v>
      </c>
      <c r="C1" s="4" t="s">
        <v>5</v>
      </c>
    </row>
    <row r="2" spans="1:3" x14ac:dyDescent="0.3">
      <c r="A2" s="6" t="s">
        <v>48</v>
      </c>
      <c r="B2" s="7">
        <v>38.631632728975603</v>
      </c>
      <c r="C2" s="7">
        <f>-90.2395573197409</f>
        <v>-90.239557319740896</v>
      </c>
    </row>
    <row r="3" spans="1:3" ht="28.8" x14ac:dyDescent="0.3">
      <c r="A3" s="6" t="s">
        <v>2</v>
      </c>
      <c r="B3" s="7">
        <v>38.621530820337803</v>
      </c>
      <c r="C3" s="7">
        <v>-90.239085771942499</v>
      </c>
    </row>
    <row r="4" spans="1:3" ht="28.8" x14ac:dyDescent="0.3">
      <c r="A4" s="6" t="s">
        <v>3</v>
      </c>
      <c r="B4" s="7">
        <v>38.6248429365112</v>
      </c>
      <c r="C4" s="7">
        <v>-90.238308128504002</v>
      </c>
    </row>
    <row r="5" spans="1:3" ht="28.8" x14ac:dyDescent="0.3">
      <c r="A5" s="6" t="s">
        <v>4</v>
      </c>
      <c r="B5" s="7">
        <v>38.6363759316244</v>
      </c>
      <c r="C5" s="7">
        <v>-90.234127085790703</v>
      </c>
    </row>
    <row r="6" spans="1:3" ht="43.2" x14ac:dyDescent="0.3">
      <c r="A6" s="6" t="s">
        <v>47</v>
      </c>
      <c r="B6" s="5">
        <v>38.627600000000001</v>
      </c>
      <c r="C6" s="5">
        <v>-90.234300000000005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BA859-53AB-4C05-B57B-D87B1BAE07F2}">
  <dimension ref="A1:B12"/>
  <sheetViews>
    <sheetView workbookViewId="0">
      <selection activeCell="B10" sqref="B10"/>
    </sheetView>
  </sheetViews>
  <sheetFormatPr defaultColWidth="24.44140625" defaultRowHeight="14.4" x14ac:dyDescent="0.3"/>
  <sheetData>
    <row r="1" spans="1:2" s="8" customFormat="1" x14ac:dyDescent="0.3">
      <c r="A1" s="8" t="s">
        <v>62</v>
      </c>
      <c r="B1" s="8" t="s">
        <v>61</v>
      </c>
    </row>
    <row r="2" spans="1:2" x14ac:dyDescent="0.3">
      <c r="A2" t="s">
        <v>58</v>
      </c>
      <c r="B2">
        <v>120</v>
      </c>
    </row>
    <row r="3" spans="1:2" x14ac:dyDescent="0.3">
      <c r="A3" t="s">
        <v>59</v>
      </c>
      <c r="B3">
        <v>1341.0219999999999</v>
      </c>
    </row>
    <row r="4" spans="1:2" x14ac:dyDescent="0.3">
      <c r="A4" t="s">
        <v>60</v>
      </c>
      <c r="B4">
        <f>B2*B3</f>
        <v>160922.63999999998</v>
      </c>
    </row>
    <row r="9" spans="1:2" x14ac:dyDescent="0.3">
      <c r="A9" s="8" t="s">
        <v>63</v>
      </c>
    </row>
    <row r="10" spans="1:2" x14ac:dyDescent="0.3">
      <c r="A10" t="s">
        <v>64</v>
      </c>
      <c r="B10">
        <v>0.5</v>
      </c>
    </row>
    <row r="11" spans="1:2" x14ac:dyDescent="0.3">
      <c r="A11" t="s">
        <v>65</v>
      </c>
      <c r="B11">
        <v>0.8</v>
      </c>
    </row>
    <row r="12" spans="1:2" x14ac:dyDescent="0.3">
      <c r="A12" t="s">
        <v>66</v>
      </c>
      <c r="B12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55B7B-28A5-4932-A7CC-4D965BA12716}">
  <dimension ref="A1:E5"/>
  <sheetViews>
    <sheetView workbookViewId="0">
      <selection activeCell="C1" sqref="C1"/>
    </sheetView>
  </sheetViews>
  <sheetFormatPr defaultColWidth="28.77734375" defaultRowHeight="14.4" x14ac:dyDescent="0.3"/>
  <sheetData>
    <row r="1" spans="1:5" s="8" customFormat="1" x14ac:dyDescent="0.3">
      <c r="A1" s="8" t="s">
        <v>6</v>
      </c>
      <c r="B1" s="8" t="s">
        <v>67</v>
      </c>
      <c r="C1" s="8" t="s">
        <v>68</v>
      </c>
      <c r="D1" s="8" t="s">
        <v>69</v>
      </c>
      <c r="E1" s="8" t="s">
        <v>70</v>
      </c>
    </row>
    <row r="2" spans="1:5" x14ac:dyDescent="0.3">
      <c r="A2" t="s">
        <v>71</v>
      </c>
      <c r="B2">
        <v>2.4E-2</v>
      </c>
      <c r="C2" s="13">
        <f>B2*'MW to hp conversion'!$B$4*'MW to hp conversion'!$B$10</f>
        <v>1931.0716799999998</v>
      </c>
      <c r="D2" s="13">
        <f>B2*'MW to hp conversion'!$B$4*'MW to hp conversion'!$B$11</f>
        <v>3089.714688</v>
      </c>
      <c r="E2" s="13">
        <f>B2*'MW to hp conversion'!$B$4*'MW to hp conversion'!$B$12</f>
        <v>3862.1433599999996</v>
      </c>
    </row>
    <row r="3" spans="1:5" x14ac:dyDescent="0.3">
      <c r="A3" t="s">
        <v>7</v>
      </c>
      <c r="B3">
        <v>5.4999999999999997E-3</v>
      </c>
      <c r="C3" s="13">
        <f>B3*'MW to hp conversion'!$B$4*'MW to hp conversion'!$B$10</f>
        <v>442.53725999999995</v>
      </c>
      <c r="D3" s="13">
        <f>B3*'MW to hp conversion'!$B$4*'MW to hp conversion'!$B$11</f>
        <v>708.05961600000001</v>
      </c>
      <c r="E3" s="13">
        <f>B3*'MW to hp conversion'!$B$4*'MW to hp conversion'!$B$12</f>
        <v>885.07451999999989</v>
      </c>
    </row>
    <row r="4" spans="1:5" x14ac:dyDescent="0.3">
      <c r="A4" t="s">
        <v>8</v>
      </c>
      <c r="B4">
        <v>6.9999999999999999E-4</v>
      </c>
      <c r="C4" s="13">
        <f>B4*'MW to hp conversion'!$B$4*'MW to hp conversion'!$B$10</f>
        <v>56.322923999999993</v>
      </c>
      <c r="D4" s="13">
        <f>B4*'MW to hp conversion'!$B$4*'MW to hp conversion'!$B$11</f>
        <v>90.116678399999998</v>
      </c>
      <c r="E4" s="13">
        <f>B4*'MW to hp conversion'!$B$4*'MW to hp conversion'!$B$12</f>
        <v>112.64584799999999</v>
      </c>
    </row>
    <row r="5" spans="1:5" x14ac:dyDescent="0.3">
      <c r="A5" t="s">
        <v>72</v>
      </c>
      <c r="B5">
        <v>1.1599999999999999</v>
      </c>
      <c r="C5" s="13">
        <f>B5*'MW to hp conversion'!$B$4*'MW to hp conversion'!$B$10</f>
        <v>93335.131199999989</v>
      </c>
      <c r="D5" s="13">
        <f>B5*'MW to hp conversion'!$B$4*'MW to hp conversion'!$B$11</f>
        <v>149336.20991999999</v>
      </c>
      <c r="E5" s="13">
        <f>B5*'MW to hp conversion'!$B$4*'MW to hp conversion'!$B$12</f>
        <v>186670.26239999998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AE224-4A0E-44D2-8D45-56556EDAB5B0}">
  <dimension ref="A1:D11"/>
  <sheetViews>
    <sheetView workbookViewId="0">
      <selection sqref="A1:D11"/>
    </sheetView>
  </sheetViews>
  <sheetFormatPr defaultColWidth="24.44140625" defaultRowHeight="14.4" x14ac:dyDescent="0.3"/>
  <cols>
    <col min="3" max="3" width="18" customWidth="1"/>
  </cols>
  <sheetData>
    <row r="1" spans="1:4" s="8" customFormat="1" x14ac:dyDescent="0.3">
      <c r="A1" s="3" t="s">
        <v>9</v>
      </c>
      <c r="B1" s="3" t="s">
        <v>20</v>
      </c>
      <c r="C1" s="3" t="s">
        <v>21</v>
      </c>
      <c r="D1" s="8" t="s">
        <v>19</v>
      </c>
    </row>
    <row r="2" spans="1:4" ht="43.2" x14ac:dyDescent="0.3">
      <c r="A2" s="6" t="s">
        <v>52</v>
      </c>
      <c r="B2" s="6" t="s">
        <v>28</v>
      </c>
      <c r="C2" s="6">
        <v>0.22500000000000001</v>
      </c>
      <c r="D2" s="9" t="s">
        <v>17</v>
      </c>
    </row>
    <row r="3" spans="1:4" ht="28.8" x14ac:dyDescent="0.3">
      <c r="A3" s="6" t="s">
        <v>53</v>
      </c>
      <c r="B3" s="6" t="s">
        <v>23</v>
      </c>
      <c r="C3" s="6">
        <v>0.5</v>
      </c>
      <c r="D3" s="9" t="s">
        <v>11</v>
      </c>
    </row>
    <row r="4" spans="1:4" ht="28.8" x14ac:dyDescent="0.3">
      <c r="A4" s="6" t="s">
        <v>54</v>
      </c>
      <c r="B4" s="6" t="s">
        <v>24</v>
      </c>
      <c r="C4" s="6">
        <v>1.5</v>
      </c>
      <c r="D4" s="9" t="s">
        <v>13</v>
      </c>
    </row>
    <row r="5" spans="1:4" ht="28.8" x14ac:dyDescent="0.3">
      <c r="A5" s="6" t="s">
        <v>55</v>
      </c>
      <c r="B5" s="6" t="s">
        <v>24</v>
      </c>
      <c r="C5" s="6">
        <v>2</v>
      </c>
      <c r="D5" s="9" t="s">
        <v>12</v>
      </c>
    </row>
    <row r="6" spans="1:4" ht="28.8" x14ac:dyDescent="0.3">
      <c r="A6" s="6" t="s">
        <v>56</v>
      </c>
      <c r="B6" s="6" t="s">
        <v>25</v>
      </c>
      <c r="C6" s="6">
        <v>2</v>
      </c>
      <c r="D6" s="9" t="s">
        <v>14</v>
      </c>
    </row>
    <row r="7" spans="1:4" ht="43.2" x14ac:dyDescent="0.3">
      <c r="A7" s="6" t="s">
        <v>57</v>
      </c>
      <c r="B7" s="6" t="s">
        <v>29</v>
      </c>
      <c r="C7" s="6">
        <v>2</v>
      </c>
      <c r="D7" s="9" t="s">
        <v>18</v>
      </c>
    </row>
    <row r="8" spans="1:4" ht="28.8" x14ac:dyDescent="0.3">
      <c r="A8" s="6" t="s">
        <v>51</v>
      </c>
      <c r="B8" s="6" t="s">
        <v>27</v>
      </c>
      <c r="C8" s="6">
        <v>12</v>
      </c>
      <c r="D8" s="9" t="s">
        <v>16</v>
      </c>
    </row>
    <row r="9" spans="1:4" ht="28.8" x14ac:dyDescent="0.3">
      <c r="A9" s="6" t="s">
        <v>50</v>
      </c>
      <c r="B9" s="6" t="s">
        <v>22</v>
      </c>
      <c r="C9" s="6">
        <v>13</v>
      </c>
      <c r="D9" s="9" t="s">
        <v>10</v>
      </c>
    </row>
    <row r="10" spans="1:4" ht="28.8" x14ac:dyDescent="0.3">
      <c r="A10" s="6" t="s">
        <v>49</v>
      </c>
      <c r="B10" s="6" t="s">
        <v>26</v>
      </c>
      <c r="C10" s="6">
        <v>20</v>
      </c>
      <c r="D10" s="9" t="s">
        <v>15</v>
      </c>
    </row>
    <row r="11" spans="1:4" ht="28.8" x14ac:dyDescent="0.3">
      <c r="A11" s="6" t="s">
        <v>30</v>
      </c>
      <c r="B11" s="6" t="s">
        <v>31</v>
      </c>
      <c r="C11" s="6">
        <v>120</v>
      </c>
      <c r="D11" s="9" t="s">
        <v>32</v>
      </c>
    </row>
  </sheetData>
  <autoFilter ref="A1:D11" xr:uid="{509AE224-4A0E-44D2-8D45-56556EDAB5B0}">
    <sortState xmlns:xlrd2="http://schemas.microsoft.com/office/spreadsheetml/2017/richdata2" ref="A2:D11">
      <sortCondition ref="C1:C11"/>
    </sortState>
  </autoFilter>
  <hyperlinks>
    <hyperlink ref="D9" r:id="rId1" xr:uid="{C59FD70A-EC17-4160-8E4C-062E02AA5FB0}"/>
    <hyperlink ref="D3" r:id="rId2" xr:uid="{F93DD349-8547-40B8-A158-6C76F4134220}"/>
    <hyperlink ref="D5" r:id="rId3" xr:uid="{35EC7B5D-5091-429A-965E-3115080B9A90}"/>
    <hyperlink ref="D4" r:id="rId4" xr:uid="{ACA2D925-008B-499B-B6EF-564882C45B5E}"/>
    <hyperlink ref="D6" r:id="rId5" xr:uid="{F4C11582-FBF6-4DBF-A77B-20FC5E84951D}"/>
    <hyperlink ref="D10" r:id="rId6" xr:uid="{A00DC2E9-B9AF-46B9-8653-162162EE9263}"/>
    <hyperlink ref="D8" r:id="rId7" xr:uid="{33E62592-B090-415C-A467-869E665DA97E}"/>
    <hyperlink ref="D2" r:id="rId8" location=":~:text=The%20tech%20company%20is%20responsible,hosting%20capacity%20will%20effectively%20double." xr:uid="{BF1CB24A-1832-426C-BEAA-C679BD26AABE}"/>
    <hyperlink ref="D7" r:id="rId9" xr:uid="{A2B1EFA6-7205-4318-B5E7-89D261DEDC93}"/>
    <hyperlink ref="D11" r:id="rId10" xr:uid="{7EFCE9CA-FEEA-457C-90AC-2C8626690AE4}"/>
  </hyperlinks>
  <pageMargins left="0.7" right="0.7" top="0.75" bottom="0.75" header="0.3" footer="0.3"/>
  <drawing r:id="rId1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69CCE-035D-4C40-B32E-CB8838E3ADDD}">
  <dimension ref="A1:C6"/>
  <sheetViews>
    <sheetView tabSelected="1" workbookViewId="0">
      <selection sqref="A1:C6"/>
    </sheetView>
  </sheetViews>
  <sheetFormatPr defaultRowHeight="14.4" x14ac:dyDescent="0.3"/>
  <cols>
    <col min="1" max="1" width="22.5546875" customWidth="1"/>
    <col min="2" max="2" width="19.33203125" customWidth="1"/>
    <col min="3" max="3" width="26.109375" customWidth="1"/>
  </cols>
  <sheetData>
    <row r="1" spans="1:3" s="8" customFormat="1" x14ac:dyDescent="0.3">
      <c r="A1" s="8" t="s">
        <v>73</v>
      </c>
      <c r="B1" s="8" t="s">
        <v>74</v>
      </c>
      <c r="C1" s="8" t="s">
        <v>75</v>
      </c>
    </row>
    <row r="2" spans="1:3" x14ac:dyDescent="0.3">
      <c r="A2" t="s">
        <v>76</v>
      </c>
      <c r="B2" t="s">
        <v>77</v>
      </c>
      <c r="C2" t="s">
        <v>78</v>
      </c>
    </row>
    <row r="3" spans="1:3" x14ac:dyDescent="0.3">
      <c r="A3" t="s">
        <v>79</v>
      </c>
      <c r="B3" t="s">
        <v>80</v>
      </c>
      <c r="C3" t="s">
        <v>81</v>
      </c>
    </row>
    <row r="4" spans="1:3" x14ac:dyDescent="0.3">
      <c r="A4" t="s">
        <v>79</v>
      </c>
      <c r="B4" t="s">
        <v>82</v>
      </c>
      <c r="C4" t="s">
        <v>83</v>
      </c>
    </row>
    <row r="5" spans="1:3" x14ac:dyDescent="0.3">
      <c r="A5" t="s">
        <v>84</v>
      </c>
      <c r="B5" t="s">
        <v>85</v>
      </c>
      <c r="C5" t="s">
        <v>86</v>
      </c>
    </row>
    <row r="6" spans="1:3" x14ac:dyDescent="0.3">
      <c r="A6" t="s">
        <v>84</v>
      </c>
      <c r="B6" t="s">
        <v>87</v>
      </c>
      <c r="C6" t="s">
        <v>88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9F1624B3EF47B4DBFD319FC74B1DB5D" ma:contentTypeVersion="5" ma:contentTypeDescription="Create a new document." ma:contentTypeScope="" ma:versionID="68c789d60cd6a9363db10df68ea2b9d3">
  <xsd:schema xmlns:xsd="http://www.w3.org/2001/XMLSchema" xmlns:xs="http://www.w3.org/2001/XMLSchema" xmlns:p="http://schemas.microsoft.com/office/2006/metadata/properties" xmlns:ns3="2b9d9366-7b49-4484-8bac-54415022ad02" targetNamespace="http://schemas.microsoft.com/office/2006/metadata/properties" ma:root="true" ma:fieldsID="2334f2513668be005e93311e6d1eaeaa" ns3:_="">
    <xsd:import namespace="2b9d9366-7b49-4484-8bac-54415022ad02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9d9366-7b49-4484-8bac-54415022ad02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DateTaken" ma:index="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b9d9366-7b49-4484-8bac-54415022ad02" xsi:nil="true"/>
  </documentManagement>
</p:properties>
</file>

<file path=customXml/itemProps1.xml><?xml version="1.0" encoding="utf-8"?>
<ds:datastoreItem xmlns:ds="http://schemas.openxmlformats.org/officeDocument/2006/customXml" ds:itemID="{ECBB8C66-4F17-4CAD-8630-BCEA0DA1E2F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27A92C3-E32A-4C41-99AC-3CCA7A7E07F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b9d9366-7b49-4484-8bac-54415022ad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3B958EF-18F3-42B2-B8BB-77190348E8BD}">
  <ds:schemaRefs>
    <ds:schemaRef ds:uri="http://purl.org/dc/elements/1.1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2b9d9366-7b49-4484-8bac-54415022ad02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residential vs armory</vt:lpstr>
      <vt:lpstr>Bar chart- STL rsdtnl vs armory</vt:lpstr>
      <vt:lpstr>proximity map</vt:lpstr>
      <vt:lpstr>MW to hp conversion</vt:lpstr>
      <vt:lpstr>Emission factors</vt:lpstr>
      <vt:lpstr>existing data centers</vt:lpstr>
      <vt:lpstr>noise levels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Sriram Dubasi</dc:creator>
  <cp:lastModifiedBy>Sai Sriram Dubasi</cp:lastModifiedBy>
  <dcterms:created xsi:type="dcterms:W3CDTF">2026-03-09T13:36:19Z</dcterms:created>
  <dcterms:modified xsi:type="dcterms:W3CDTF">2026-03-18T09:59:22Z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0x010100C9F1624B3EF47B4DBFD319FC74B1DB5D</vt:lpwstr>
  </property>
</Properties>
</file>